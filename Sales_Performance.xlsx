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lik\Downloads\"/>
    </mc:Choice>
  </mc:AlternateContent>
  <xr:revisionPtr revIDLastSave="0" documentId="13_ncr:1_{5E8D6CB9-6A48-454C-9B9C-04EDCDE7E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Perf" sheetId="1" r:id="rId1"/>
    <sheet name="KPI Summary" sheetId="2" r:id="rId2"/>
    <sheet name="Region Analysis" sheetId="3" r:id="rId3"/>
    <sheet name="Product Analysis Sheet" sheetId="4" r:id="rId4"/>
    <sheet name="Sep Daily Revenue Trend" sheetId="5" r:id="rId5"/>
    <sheet name="Final Dashboard" sheetId="7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<sst xmlns="http://schemas.openxmlformats.org/spreadsheetml/2006/main" count="165" uniqueCount="64">
  <si>
    <t>Region</t>
  </si>
  <si>
    <t>Sum of Revenue</t>
  </si>
  <si>
    <t>Mumbai</t>
  </si>
  <si>
    <t>Navi Mumbai</t>
  </si>
  <si>
    <t>Pune</t>
  </si>
  <si>
    <t>Thane</t>
  </si>
  <si>
    <t>Grand Total</t>
  </si>
  <si>
    <t>Product</t>
  </si>
  <si>
    <t>Headphones</t>
  </si>
  <si>
    <t>Keyboard</t>
  </si>
  <si>
    <t>Laptop</t>
  </si>
  <si>
    <t>Mobile</t>
  </si>
  <si>
    <t>Monitor</t>
  </si>
  <si>
    <t>Mouse</t>
  </si>
  <si>
    <t>Date</t>
  </si>
  <si>
    <t>Order_ID</t>
  </si>
  <si>
    <t>Category</t>
  </si>
  <si>
    <t>Quantity</t>
  </si>
  <si>
    <t>Unit_Price</t>
  </si>
  <si>
    <t>Revenue</t>
  </si>
  <si>
    <t>Visits</t>
  </si>
  <si>
    <t>Orders</t>
  </si>
  <si>
    <t>ORD001</t>
  </si>
  <si>
    <t>Electronics</t>
  </si>
  <si>
    <t>ORD002</t>
  </si>
  <si>
    <t>ORD003</t>
  </si>
  <si>
    <t>Accessories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</si>
  <si>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</si>
  <si>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</si>
  <si>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</si>
  <si>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</si>
  <si>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</si>
  <si>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</si>
  <si>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</si>
  <si>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</si>
  <si>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</si>
  <si>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</si>
  <si>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</si>
  <si>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</si>
  <si>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</si>
  <si>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</si>
  <si>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</si>
  <si>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</si>
  <si>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</si>
  <si>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</si>
  <si>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</si>
  <si>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</si>
  <si>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</si>
  <si>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</si>
  <si>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</si>
  <si>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</si>
  <si>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</si>
  <si>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</si>
  <si>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</si>
  <si>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</si>
  <si>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</si>
  <si>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Total Revenue</t>
  </si>
  <si>
    <t>Total Quantity</t>
  </si>
  <si>
    <t>Total Visits</t>
  </si>
  <si>
    <t>Total Orders</t>
  </si>
  <si>
    <t>Conversion Rate</t>
  </si>
  <si>
    <t>Average Order Value</t>
  </si>
  <si>
    <t>SALES PERFORMANCE DASHBOARD</t>
  </si>
  <si>
    <t>BUSINESS INSIGHT &amp;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</si>
</sst>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1" applyNumberFormat="0" applyFill="0" applyAlignment="0" applyProtection="0"/>
  </cellStyleXfs>
  <cellXfs count="9">
    <xf numFmtId="0" fontId="0" fillId="0" borderId="0" xfId="0">
      <alignment vertical="center"/>
    </xf>
    <xf numFmtId="164" fontId="0" fillId="0" borderId="0" xfId="1" applyNumberFormat="1" applyFont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indent="1"/>
    </xf>
    <xf numFmtId="3" fontId="1" fillId="0" borderId="0" xfId="0" applyNumberFormat="1" applyFont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5" fillId="3" borderId="1" xfId="2" applyFill="1" applyAlignment="1">
      <alignment horizontal="center" vertical="center"/>
    </xf>
  </cellXfs>
  <cellStyles count="3">
    <cellStyle name="Heading 1" xfId="2" builtinId="16"/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[Sales_Performance.xlsx]Region 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Revenue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Mumbai</c:v>
                </c:pt>
                <c:pt idx="1">
                  <c:v>Navi Mumbai</c:v>
                </c:pt>
                <c:pt idx="2">
                  <c:v>Pune</c:v>
                </c:pt>
                <c:pt idx="3">
                  <c:v>Thane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319600</c:v>
                </c:pt>
                <c:pt idx="1">
                  <c:v>275300</c:v>
                </c:pt>
                <c:pt idx="2">
                  <c:v>315800</c:v>
                </c:pt>
                <c:pt idx="3">
                  <c:v>280900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2-4145-89D6-448421EF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0215407"/>
        <c:axId val="902387205"/>
      </c:barChart>
      <c:catAx>
        <c:axId val="220215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87205"/>
        <c:crosses val="autoZero"/>
        <c:auto val="1"/>
        <c:lblAlgn val="ctr"/>
        <c:lblOffset val="100"/>
        <c:noMultiLvlLbl val="0"/>
      </c:catAx>
      <c:valAx>
        <c:axId val="9023872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1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01b2bc-ebd1-4d5b-9697-28cff98c64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[Sales_Performance.xlsx]Product Analysis Sheet!PivotTable2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Revenue by Product</a:t>
            </a:r>
          </a:p>
        </c:rich>
      </c:tx>
      <c:layout>
        <c:manualLayout>
          <c:xMode val="edge"/>
          <c:yMode val="edge"/>
          <c:x val="0.325921052631579"/>
          <c:y val="8.33333333333333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 Sheet'!$A$4:$A$10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</c:strCache>
            </c:strRef>
          </c:cat>
          <c:val>
            <c:numRef>
              <c:f>'Product Analysis Sheet'!$B$4:$B$10</c:f>
              <c:numCache>
                <c:formatCode>General</c:formatCode>
                <c:ptCount val="6"/>
                <c:pt idx="0">
                  <c:v>51800</c:v>
                </c:pt>
                <c:pt idx="1">
                  <c:v>35400</c:v>
                </c:pt>
                <c:pt idx="2">
                  <c:v>422500</c:v>
                </c:pt>
                <c:pt idx="3">
                  <c:v>388000</c:v>
                </c:pt>
                <c:pt idx="4">
                  <c:v>251000</c:v>
                </c:pt>
                <c:pt idx="5">
                  <c:v>42900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CA-4331-8C20-97E7B31C2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14355960"/>
        <c:axId val="703358670"/>
      </c:barChart>
      <c:catAx>
        <c:axId val="514355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58670"/>
        <c:crosses val="autoZero"/>
        <c:auto val="1"/>
        <c:lblAlgn val="ctr"/>
        <c:lblOffset val="100"/>
        <c:noMultiLvlLbl val="0"/>
      </c:catAx>
      <c:valAx>
        <c:axId val="7033586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5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33eea7-7b0c-4938-9314-d1fe0a469a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[Sales_Performance.xlsx]Sep Daily Revenue Trend!PivotTable3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September Daily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'Sep Daily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'Sep Daily Revenue Trend'!$A$4:$A$34</c:f>
              <c:strCache>
                <c:ptCount val="30"/>
                <c:pt idx="0">
                  <c:v>01-09-2026</c:v>
                </c:pt>
                <c:pt idx="1">
                  <c:v>02-09-2026</c:v>
                </c:pt>
                <c:pt idx="2">
                  <c:v>03-09-2026</c:v>
                </c:pt>
                <c:pt idx="3">
                  <c:v>04-09-2026</c:v>
                </c:pt>
                <c:pt idx="4">
                  <c:v>05-09-2026</c:v>
                </c:pt>
                <c:pt idx="5">
                  <c:v>06-09-2026</c:v>
                </c:pt>
                <c:pt idx="6">
                  <c:v>07-09-2026</c:v>
                </c:pt>
                <c:pt idx="7">
                  <c:v>08-09-2026</c:v>
                </c:pt>
                <c:pt idx="8">
                  <c:v>09-09-2026</c:v>
                </c:pt>
                <c:pt idx="9">
                  <c:v>10-09-2026</c:v>
                </c:pt>
                <c:pt idx="10">
                  <c:v>11-09-2026</c:v>
                </c:pt>
                <c:pt idx="11">
                  <c:v>12-09-2026</c:v>
                </c:pt>
                <c:pt idx="12">
                  <c:v>13-09-2026</c:v>
                </c:pt>
                <c:pt idx="13">
                  <c:v>14-09-2026</c:v>
                </c:pt>
                <c:pt idx="14">
                  <c:v>15-09-2026</c:v>
                </c:pt>
                <c:pt idx="15">
                  <c:v>16-09-2026</c:v>
                </c:pt>
                <c:pt idx="16">
                  <c:v>17-09-2026</c:v>
                </c:pt>
                <c:pt idx="17">
                  <c:v>18-09-2026</c:v>
                </c:pt>
                <c:pt idx="18">
                  <c:v>19-09-2026</c:v>
                </c:pt>
                <c:pt idx="19">
                  <c:v>20-09-2026</c:v>
                </c:pt>
                <c:pt idx="20">
                  <c:v>21-09-2026</c:v>
                </c:pt>
                <c:pt idx="21">
                  <c:v>22-09-2026</c:v>
                </c:pt>
                <c:pt idx="22">
                  <c:v>23-09-2026</c:v>
                </c:pt>
                <c:pt idx="23">
                  <c:v>24-09-2026</c:v>
                </c:pt>
                <c:pt idx="24">
                  <c:v>25-09-2026</c:v>
                </c:pt>
                <c:pt idx="25">
                  <c:v>26-09-2026</c:v>
                </c:pt>
                <c:pt idx="26">
                  <c:v>27-09-2026</c:v>
                </c:pt>
                <c:pt idx="27">
                  <c:v>28-09-2026</c:v>
                </c:pt>
                <c:pt idx="28">
                  <c:v>29-09-2026</c:v>
                </c:pt>
                <c:pt idx="29">
                  <c:v>30-09-2026</c:v>
                </c:pt>
              </c:strCache>
            </c:strRef>
          </c:cat>
          <c:val>
            <c:numRef>
              <c:f>'Sep Daily Revenue Trend'!$B$4:$B$34</c:f>
              <c:numCache>
                <c:formatCode>General</c:formatCode>
                <c:ptCount val="30"/>
                <c:pt idx="0">
                  <c:v>122000</c:v>
                </c:pt>
                <c:pt idx="1">
                  <c:v>12000</c:v>
                </c:pt>
                <c:pt idx="2">
                  <c:v>36000</c:v>
                </c:pt>
                <c:pt idx="3">
                  <c:v>10000</c:v>
                </c:pt>
                <c:pt idx="4">
                  <c:v>58000</c:v>
                </c:pt>
                <c:pt idx="5">
                  <c:v>28000</c:v>
                </c:pt>
                <c:pt idx="6">
                  <c:v>7500</c:v>
                </c:pt>
                <c:pt idx="7">
                  <c:v>51000</c:v>
                </c:pt>
                <c:pt idx="8">
                  <c:v>14000</c:v>
                </c:pt>
                <c:pt idx="9">
                  <c:v>60000</c:v>
                </c:pt>
                <c:pt idx="10">
                  <c:v>58000</c:v>
                </c:pt>
                <c:pt idx="11">
                  <c:v>7200</c:v>
                </c:pt>
                <c:pt idx="12">
                  <c:v>38000</c:v>
                </c:pt>
                <c:pt idx="13">
                  <c:v>11000</c:v>
                </c:pt>
                <c:pt idx="14">
                  <c:v>62000</c:v>
                </c:pt>
                <c:pt idx="15">
                  <c:v>62000</c:v>
                </c:pt>
                <c:pt idx="16">
                  <c:v>10400</c:v>
                </c:pt>
                <c:pt idx="17">
                  <c:v>35000</c:v>
                </c:pt>
                <c:pt idx="18">
                  <c:v>11400</c:v>
                </c:pt>
                <c:pt idx="19">
                  <c:v>59000</c:v>
                </c:pt>
                <c:pt idx="20">
                  <c:v>60000</c:v>
                </c:pt>
                <c:pt idx="21">
                  <c:v>9800</c:v>
                </c:pt>
                <c:pt idx="22">
                  <c:v>37000</c:v>
                </c:pt>
                <c:pt idx="23">
                  <c:v>14400</c:v>
                </c:pt>
                <c:pt idx="24">
                  <c:v>61000</c:v>
                </c:pt>
                <c:pt idx="25">
                  <c:v>59000</c:v>
                </c:pt>
                <c:pt idx="26">
                  <c:v>8000</c:v>
                </c:pt>
                <c:pt idx="27">
                  <c:v>54000</c:v>
                </c:pt>
                <c:pt idx="28">
                  <c:v>14400</c:v>
                </c:pt>
                <c:pt idx="29">
                  <c:v>121500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E-4697-B2B0-C1D3799C9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6022"/>
        <c:axId val="845864213"/>
      </c:lineChart>
      <c:catAx>
        <c:axId val="184296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864213"/>
        <c:crosses val="autoZero"/>
        <c:auto val="1"/>
        <c:lblAlgn val="ctr"/>
        <c:lblOffset val="100"/>
        <c:noMultiLvlLbl val="0"/>
      </c:catAx>
      <c:valAx>
        <c:axId val="845864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60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c90c31-2cd8-486a-a863-2115e51abf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[Sales_Performance.xlsx]Region Analysis!PivotTable1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Revenue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77444095998489"/>
          <c:y val="0.34864219587541223"/>
          <c:w val="0.71412652945707999"/>
          <c:h val="0.26144762011457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Mumbai</c:v>
                </c:pt>
                <c:pt idx="1">
                  <c:v>Navi Mumbai</c:v>
                </c:pt>
                <c:pt idx="2">
                  <c:v>Pune</c:v>
                </c:pt>
                <c:pt idx="3">
                  <c:v>Thane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319600</c:v>
                </c:pt>
                <c:pt idx="1">
                  <c:v>275300</c:v>
                </c:pt>
                <c:pt idx="2">
                  <c:v>315800</c:v>
                </c:pt>
                <c:pt idx="3">
                  <c:v>280900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A-4BC8-91D5-C3487581D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axId val="220215407"/>
        <c:axId val="902387205"/>
      </c:barChart>
      <c:catAx>
        <c:axId val="220215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87205"/>
        <c:crosses val="autoZero"/>
        <c:auto val="1"/>
        <c:lblAlgn val="ctr"/>
        <c:lblOffset val="100"/>
        <c:noMultiLvlLbl val="0"/>
      </c:catAx>
      <c:valAx>
        <c:axId val="9023872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1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901b2bc-ebd1-4d5b-9697-28cff98c64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[Sales_Performance.xlsx]Product Analysis Sheet!PivotTable2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Revenue by Product</a:t>
            </a:r>
          </a:p>
        </c:rich>
      </c:tx>
      <c:layout>
        <c:manualLayout>
          <c:xMode val="edge"/>
          <c:yMode val="edge"/>
          <c:x val="0.16244290684001356"/>
          <c:y val="0.1284815452644687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71179260487175"/>
          <c:y val="0.33355229379217421"/>
          <c:w val="0.58183079617296496"/>
          <c:h val="0.1999116128446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Analysis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 Sheet'!$A$4:$A$10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</c:strCache>
            </c:strRef>
          </c:cat>
          <c:val>
            <c:numRef>
              <c:f>'Product Analysis Sheet'!$B$4:$B$10</c:f>
              <c:numCache>
                <c:formatCode>General</c:formatCode>
                <c:ptCount val="6"/>
                <c:pt idx="0">
                  <c:v>51800</c:v>
                </c:pt>
                <c:pt idx="1">
                  <c:v>35400</c:v>
                </c:pt>
                <c:pt idx="2">
                  <c:v>422500</c:v>
                </c:pt>
                <c:pt idx="3">
                  <c:v>388000</c:v>
                </c:pt>
                <c:pt idx="4">
                  <c:v>251000</c:v>
                </c:pt>
                <c:pt idx="5">
                  <c:v>42900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7-4F93-961D-87A898A66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axId val="514355960"/>
        <c:axId val="703358670"/>
      </c:barChart>
      <c:catAx>
        <c:axId val="514355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58670"/>
        <c:crosses val="autoZero"/>
        <c:auto val="1"/>
        <c:lblAlgn val="ctr"/>
        <c:lblOffset val="100"/>
        <c:noMultiLvlLbl val="0"/>
      </c:catAx>
      <c:valAx>
        <c:axId val="7033586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55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3eea7-7b0c-4938-9314-d1fe0a469a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[Sales_Performance.xlsx]Sep Daily Revenue Trend!PivotTable3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September Daily Revenue Trend</a:t>
            </a:r>
          </a:p>
        </c:rich>
      </c:tx>
      <c:layout>
        <c:manualLayout>
          <c:xMode val="edge"/>
          <c:yMode val="edge"/>
          <c:x val="0.22603325295634608"/>
          <c:y val="0.195719579813920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'Sep Daily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'Sep Daily Revenue Trend'!$A$4:$A$34</c:f>
              <c:strCache>
                <c:ptCount val="30"/>
                <c:pt idx="0">
                  <c:v>01-09-2026</c:v>
                </c:pt>
                <c:pt idx="1">
                  <c:v>02-09-2026</c:v>
                </c:pt>
                <c:pt idx="2">
                  <c:v>03-09-2026</c:v>
                </c:pt>
                <c:pt idx="3">
                  <c:v>04-09-2026</c:v>
                </c:pt>
                <c:pt idx="4">
                  <c:v>05-09-2026</c:v>
                </c:pt>
                <c:pt idx="5">
                  <c:v>06-09-2026</c:v>
                </c:pt>
                <c:pt idx="6">
                  <c:v>07-09-2026</c:v>
                </c:pt>
                <c:pt idx="7">
                  <c:v>08-09-2026</c:v>
                </c:pt>
                <c:pt idx="8">
                  <c:v>09-09-2026</c:v>
                </c:pt>
                <c:pt idx="9">
                  <c:v>10-09-2026</c:v>
                </c:pt>
                <c:pt idx="10">
                  <c:v>11-09-2026</c:v>
                </c:pt>
                <c:pt idx="11">
                  <c:v>12-09-2026</c:v>
                </c:pt>
                <c:pt idx="12">
                  <c:v>13-09-2026</c:v>
                </c:pt>
                <c:pt idx="13">
                  <c:v>14-09-2026</c:v>
                </c:pt>
                <c:pt idx="14">
                  <c:v>15-09-2026</c:v>
                </c:pt>
                <c:pt idx="15">
                  <c:v>16-09-2026</c:v>
                </c:pt>
                <c:pt idx="16">
                  <c:v>17-09-2026</c:v>
                </c:pt>
                <c:pt idx="17">
                  <c:v>18-09-2026</c:v>
                </c:pt>
                <c:pt idx="18">
                  <c:v>19-09-2026</c:v>
                </c:pt>
                <c:pt idx="19">
                  <c:v>20-09-2026</c:v>
                </c:pt>
                <c:pt idx="20">
                  <c:v>21-09-2026</c:v>
                </c:pt>
                <c:pt idx="21">
                  <c:v>22-09-2026</c:v>
                </c:pt>
                <c:pt idx="22">
                  <c:v>23-09-2026</c:v>
                </c:pt>
                <c:pt idx="23">
                  <c:v>24-09-2026</c:v>
                </c:pt>
                <c:pt idx="24">
                  <c:v>25-09-2026</c:v>
                </c:pt>
                <c:pt idx="25">
                  <c:v>26-09-2026</c:v>
                </c:pt>
                <c:pt idx="26">
                  <c:v>27-09-2026</c:v>
                </c:pt>
                <c:pt idx="27">
                  <c:v>28-09-2026</c:v>
                </c:pt>
                <c:pt idx="28">
                  <c:v>29-09-2026</c:v>
                </c:pt>
                <c:pt idx="29">
                  <c:v>30-09-2026</c:v>
                </c:pt>
              </c:strCache>
            </c:strRef>
          </c:cat>
          <c:val>
            <c:numRef>
              <c:f>'Sep Daily Revenue Trend'!$B$4:$B$34</c:f>
              <c:numCache>
                <c:formatCode>General</c:formatCode>
                <c:ptCount val="30"/>
                <c:pt idx="0">
                  <c:v>122000</c:v>
                </c:pt>
                <c:pt idx="1">
                  <c:v>12000</c:v>
                </c:pt>
                <c:pt idx="2">
                  <c:v>36000</c:v>
                </c:pt>
                <c:pt idx="3">
                  <c:v>10000</c:v>
                </c:pt>
                <c:pt idx="4">
                  <c:v>58000</c:v>
                </c:pt>
                <c:pt idx="5">
                  <c:v>28000</c:v>
                </c:pt>
                <c:pt idx="6">
                  <c:v>7500</c:v>
                </c:pt>
                <c:pt idx="7">
                  <c:v>51000</c:v>
                </c:pt>
                <c:pt idx="8">
                  <c:v>14000</c:v>
                </c:pt>
                <c:pt idx="9">
                  <c:v>60000</c:v>
                </c:pt>
                <c:pt idx="10">
                  <c:v>58000</c:v>
                </c:pt>
                <c:pt idx="11">
                  <c:v>7200</c:v>
                </c:pt>
                <c:pt idx="12">
                  <c:v>38000</c:v>
                </c:pt>
                <c:pt idx="13">
                  <c:v>11000</c:v>
                </c:pt>
                <c:pt idx="14">
                  <c:v>62000</c:v>
                </c:pt>
                <c:pt idx="15">
                  <c:v>62000</c:v>
                </c:pt>
                <c:pt idx="16">
                  <c:v>10400</c:v>
                </c:pt>
                <c:pt idx="17">
                  <c:v>35000</c:v>
                </c:pt>
                <c:pt idx="18">
                  <c:v>11400</c:v>
                </c:pt>
                <c:pt idx="19">
                  <c:v>59000</c:v>
                </c:pt>
                <c:pt idx="20">
                  <c:v>60000</c:v>
                </c:pt>
                <c:pt idx="21">
                  <c:v>9800</c:v>
                </c:pt>
                <c:pt idx="22">
                  <c:v>37000</c:v>
                </c:pt>
                <c:pt idx="23">
                  <c:v>14400</c:v>
                </c:pt>
                <c:pt idx="24">
                  <c:v>61000</c:v>
                </c:pt>
                <c:pt idx="25">
                  <c:v>59000</c:v>
                </c:pt>
                <c:pt idx="26">
                  <c:v>8000</c:v>
                </c:pt>
                <c:pt idx="27">
                  <c:v>54000</c:v>
                </c:pt>
                <c:pt idx="28">
                  <c:v>14400</c:v>
                </c:pt>
                <c:pt idx="29">
                  <c:v>121500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3-4E65-B77F-E55F15817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6022"/>
        <c:axId val="845864213"/>
      </c:lineChart>
      <c:catAx>
        <c:axId val="184296022"/>
        <c:scaling>
          <c:orientation val="minMax"/>
        </c:scaling>
        <c:delete val="0"/>
        <c:axPos val="b"/>
        <c:numFmt formatCode="d/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864213"/>
        <c:crosses val="autoZero"/>
        <c:auto val="1"/>
        <c:lblAlgn val="ctr"/>
        <c:lblOffset val="100"/>
        <c:noMultiLvlLbl val="0"/>
      </c:catAx>
      <c:valAx>
        <c:axId val="845864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60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c90c31-2cd8-486a-a863-2115e51abf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5080</xdr:rowOff>
    </xdr:from>
    <xdr:to>
      <xdr:col>13</xdr:col>
      <xdr:colOff>254000</xdr:colOff>
      <xdr:row>19</xdr:row>
      <xdr:rowOff>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</xdr:colOff>
      <xdr:row>3</xdr:row>
      <xdr:rowOff>180340</xdr:rowOff>
    </xdr:from>
    <xdr:to>
      <xdr:col>12</xdr:col>
      <xdr:colOff>92075</xdr:colOff>
      <xdr:row>19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302260</xdr:colOff>
      <xdr:row>7</xdr:row>
      <xdr:rowOff>0</xdr:rowOff>
    </xdr:from>
    <xdr:to>
      <xdr:col>11</xdr:col>
      <xdr:colOff>449580</xdr:colOff>
      <xdr:row>19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57993</xdr:colOff>
      <xdr:row>2</xdr:row>
      <xdr:rowOff>61566</xdr:rowOff>
    </xdr:from>
    <xdr:to>
      <xdr:col>2</xdr:col>
      <xdr:colOff>12273</xdr:colOff>
      <xdr:row>5</xdr:row>
      <xdr:rowOff>47135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6E818A-E378-0DB7-7C89-5B0C1E634871}"/>
            </a:ext>
          </a:extLst>
        </xdr:cNvPr>
        <xdr:cNvSpPr txBox="1"/>
      </xdr:nvSpPr>
      <xdr:spPr>
        <a:xfrm>
          <a:off x="57993" y="425708"/>
          <a:ext cx="1168085" cy="531781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TOTAL REVENUE</a:t>
          </a:r>
        </a:p>
        <a:p>
          <a:r>
            <a:rPr lang="en-IN" sz="1100" b="1"/>
            <a:t>      11,91,600 </a:t>
          </a:r>
        </a:p>
      </xdr:txBody>
    </xdr:sp>
    <xdr:clientData/>
  </xdr:twoCellAnchor>
  <xdr:oneCellAnchor>
    <xdr:from>
      <xdr:col>2</xdr:col>
      <xdr:colOff>171079</xdr:colOff>
      <xdr:row>2</xdr:row>
      <xdr:rowOff>60690</xdr:rowOff>
    </xdr:from>
    <xdr:ext cx="1082040" cy="53946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4BFB9D-3FA7-E0BD-0322-10F4319B8523}"/>
            </a:ext>
          </a:extLst>
        </xdr:cNvPr>
        <xdr:cNvSpPr txBox="1"/>
      </xdr:nvSpPr>
      <xdr:spPr>
        <a:xfrm>
          <a:off x="1384884" y="424832"/>
          <a:ext cx="1082040" cy="539469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TOTAL ORDERS</a:t>
          </a:r>
        </a:p>
        <a:p>
          <a:r>
            <a:rPr lang="en-IN" sz="1100" b="1"/>
            <a:t>          400</a:t>
          </a:r>
        </a:p>
      </xdr:txBody>
    </xdr:sp>
    <xdr:clientData/>
  </xdr:oneCellAnchor>
  <xdr:oneCellAnchor>
    <xdr:from>
      <xdr:col>6</xdr:col>
      <xdr:colOff>439194</xdr:colOff>
      <xdr:row>2</xdr:row>
      <xdr:rowOff>62444</xdr:rowOff>
    </xdr:from>
    <xdr:ext cx="1624273" cy="5174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F44D70-5A5E-831A-2062-DAF85C16B442}"/>
            </a:ext>
          </a:extLst>
        </xdr:cNvPr>
        <xdr:cNvSpPr txBox="1"/>
      </xdr:nvSpPr>
      <xdr:spPr>
        <a:xfrm>
          <a:off x="4080610" y="426586"/>
          <a:ext cx="1624273" cy="51748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AVERAGE ORDER VALUE </a:t>
          </a:r>
        </a:p>
        <a:p>
          <a:r>
            <a:rPr lang="en-IN" sz="1100" b="1"/>
            <a:t>               2,979</a:t>
          </a:r>
        </a:p>
      </xdr:txBody>
    </xdr:sp>
    <xdr:clientData/>
  </xdr:oneCellAnchor>
  <xdr:oneCellAnchor>
    <xdr:from>
      <xdr:col>9</xdr:col>
      <xdr:colOff>167640</xdr:colOff>
      <xdr:row>9</xdr:row>
      <xdr:rowOff>129540</xdr:rowOff>
    </xdr:from>
    <xdr:ext cx="47244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C3F480-3712-3333-61EE-9D48993D1EC9}"/>
            </a:ext>
          </a:extLst>
        </xdr:cNvPr>
        <xdr:cNvSpPr txBox="1"/>
      </xdr:nvSpPr>
      <xdr:spPr>
        <a:xfrm>
          <a:off x="5654040" y="1775460"/>
          <a:ext cx="4724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4</xdr:col>
      <xdr:colOff>162849</xdr:colOff>
      <xdr:row>2</xdr:row>
      <xdr:rowOff>60959</xdr:rowOff>
    </xdr:from>
    <xdr:ext cx="1354408" cy="532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9742C5-95AF-DE34-4BC9-198EB3FEE927}"/>
            </a:ext>
          </a:extLst>
        </xdr:cNvPr>
        <xdr:cNvSpPr txBox="1"/>
      </xdr:nvSpPr>
      <xdr:spPr>
        <a:xfrm flipH="1">
          <a:off x="2590460" y="425101"/>
          <a:ext cx="1354408" cy="532457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CONVERSION RATE </a:t>
          </a:r>
        </a:p>
        <a:p>
          <a:r>
            <a:rPr lang="en-IN" sz="1100" b="1"/>
            <a:t>            10.60%</a:t>
          </a:r>
        </a:p>
      </xdr:txBody>
    </xdr:sp>
    <xdr:clientData/>
  </xdr:oneCellAnchor>
  <xdr:oneCellAnchor>
    <xdr:from>
      <xdr:col>9</xdr:col>
      <xdr:colOff>424832</xdr:colOff>
      <xdr:row>2</xdr:row>
      <xdr:rowOff>53948</xdr:rowOff>
    </xdr:from>
    <xdr:ext cx="1004761" cy="51249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9366CC-8D65-FE39-5207-026440E55D0C}"/>
            </a:ext>
          </a:extLst>
        </xdr:cNvPr>
        <xdr:cNvSpPr txBox="1"/>
      </xdr:nvSpPr>
      <xdr:spPr>
        <a:xfrm>
          <a:off x="5886956" y="418090"/>
          <a:ext cx="1004761" cy="51249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b="1"/>
            <a:t>Total Quantity </a:t>
          </a:r>
        </a:p>
        <a:p>
          <a:r>
            <a:rPr lang="en-IN" sz="1100" b="1"/>
            <a:t>           94</a:t>
          </a:r>
        </a:p>
      </xdr:txBody>
    </xdr:sp>
    <xdr:clientData/>
  </xdr:oneCellAnchor>
  <xdr:oneCellAnchor>
    <xdr:from>
      <xdr:col>11</xdr:col>
      <xdr:colOff>385282</xdr:colOff>
      <xdr:row>2</xdr:row>
      <xdr:rowOff>66145</xdr:rowOff>
    </xdr:from>
    <xdr:ext cx="804809" cy="52461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3EEB63-DD45-3DAD-9A5C-A31918B0E926}"/>
            </a:ext>
          </a:extLst>
        </xdr:cNvPr>
        <xdr:cNvSpPr txBox="1"/>
      </xdr:nvSpPr>
      <xdr:spPr>
        <a:xfrm>
          <a:off x="7072046" y="425741"/>
          <a:ext cx="804809" cy="524619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b="1"/>
            <a:t>Total Visits</a:t>
          </a:r>
        </a:p>
        <a:p>
          <a:r>
            <a:rPr lang="en-IN" baseline="0"/>
            <a:t>    </a:t>
          </a:r>
          <a:r>
            <a:rPr lang="en-IN"/>
            <a:t> </a:t>
          </a:r>
          <a:r>
            <a:rPr lang="en-IN" b="1"/>
            <a:t>3,775</a:t>
          </a:r>
          <a:endParaRPr lang="en-IN" sz="1100"/>
        </a:p>
      </xdr:txBody>
    </xdr:sp>
    <xdr:clientData/>
  </xdr:oneCellAnchor>
  <xdr:twoCellAnchor>
    <xdr:from>
      <xdr:col>0</xdr:col>
      <xdr:colOff>134938</xdr:colOff>
      <xdr:row>5</xdr:row>
      <xdr:rowOff>127000</xdr:rowOff>
    </xdr:from>
    <xdr:to>
      <xdr:col>5</xdr:col>
      <xdr:colOff>404813</xdr:colOff>
      <xdr:row>17</xdr:row>
      <xdr:rowOff>168585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EA80BDD-E128-6428-B516-0937FF262431}"/>
            </a:ext>
          </a:extLst>
        </xdr:cNvPr>
        <xdr:cNvSpPr/>
      </xdr:nvSpPr>
      <xdr:spPr>
        <a:xfrm>
          <a:off x="134938" y="1039813"/>
          <a:ext cx="3325813" cy="2232335"/>
        </a:xfrm>
        <a:prstGeom prst="rect">
          <a:avLst/>
        </a:prstGeom>
        <a:solidFill>
          <a:schemeClr val="bg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230188</xdr:colOff>
      <xdr:row>6</xdr:row>
      <xdr:rowOff>74176</xdr:rowOff>
    </xdr:from>
    <xdr:to>
      <xdr:col>5</xdr:col>
      <xdr:colOff>285749</xdr:colOff>
      <xdr:row>17</xdr:row>
      <xdr:rowOff>101149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E1AEA65-8175-41AF-868D-00171D1E3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246064</xdr:colOff>
      <xdr:row>5</xdr:row>
      <xdr:rowOff>174132</xdr:rowOff>
    </xdr:from>
    <xdr:to>
      <xdr:col>12</xdr:col>
      <xdr:colOff>519165</xdr:colOff>
      <xdr:row>17</xdr:row>
      <xdr:rowOff>181367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BA352FB-0066-A695-FF22-14BBCF1C0570}"/>
            </a:ext>
          </a:extLst>
        </xdr:cNvPr>
        <xdr:cNvSpPr/>
      </xdr:nvSpPr>
      <xdr:spPr>
        <a:xfrm>
          <a:off x="3913712" y="1095231"/>
          <a:ext cx="3940750" cy="2217872"/>
        </a:xfrm>
        <a:prstGeom prst="rect">
          <a:avLst/>
        </a:prstGeom>
        <a:ln>
          <a:noFill/>
        </a:ln>
        <a:effectLst>
          <a:softEdge rad="12700"/>
        </a:effectLst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412750</xdr:colOff>
      <xdr:row>6</xdr:row>
      <xdr:rowOff>75371</xdr:rowOff>
    </xdr:from>
    <xdr:to>
      <xdr:col>12</xdr:col>
      <xdr:colOff>410306</xdr:colOff>
      <xdr:row>17</xdr:row>
      <xdr:rowOff>88857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9293088-370B-4759-BE98-77FB9CC77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103189</xdr:colOff>
      <xdr:row>18</xdr:row>
      <xdr:rowOff>103186</xdr:rowOff>
    </xdr:from>
    <xdr:to>
      <xdr:col>12</xdr:col>
      <xdr:colOff>485670</xdr:colOff>
      <xdr:row>31</xdr:row>
      <xdr:rowOff>71437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D126735-C6F0-6B9A-B050-00C932B0938F}"/>
            </a:ext>
          </a:extLst>
        </xdr:cNvPr>
        <xdr:cNvSpPr/>
      </xdr:nvSpPr>
      <xdr:spPr>
        <a:xfrm>
          <a:off x="103189" y="3419142"/>
          <a:ext cx="7717778" cy="2363108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222249</xdr:colOff>
      <xdr:row>19</xdr:row>
      <xdr:rowOff>23812</xdr:rowOff>
    </xdr:from>
    <xdr:to>
      <xdr:col>12</xdr:col>
      <xdr:colOff>368439</xdr:colOff>
      <xdr:row>30</xdr:row>
      <xdr:rowOff>158750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143732-02BE-4EDE-AEB7-4C11893EE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607660</xdr:colOff>
      <xdr:row>3</xdr:row>
      <xdr:rowOff>15877</xdr:rowOff>
    </xdr:from>
    <xdr:ext cx="3664677" cy="383606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6EADBC3-E7A7-D94D-94CD-38524C769362}"/>
            </a:ext>
          </a:extLst>
        </xdr:cNvPr>
        <xdr:cNvSpPr txBox="1"/>
      </xdr:nvSpPr>
      <xdr:spPr>
        <a:xfrm>
          <a:off x="8510199" y="555270"/>
          <a:ext cx="3664677" cy="38360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Key Business Insights</a:t>
          </a:r>
          <a:endParaRPr lang="en-IN"/>
        </a:p>
        <a:p>
          <a:r>
            <a:rPr lang="en-IN"/>
            <a:t>• </a:t>
          </a:r>
          <a:r>
            <a:rPr lang="en-IN" b="0"/>
            <a:t>Mumbai generated the highest regional revenue of ₹3,19,600.</a:t>
          </a:r>
        </a:p>
        <a:p>
          <a:r>
            <a:rPr lang="en-IN" b="1"/>
            <a:t>• </a:t>
          </a:r>
          <a:r>
            <a:rPr lang="en-IN" b="0"/>
            <a:t>Laptop was the top-performing product, generating ₹4,22,500 in revenue.</a:t>
          </a:r>
        </a:p>
        <a:p>
          <a:r>
            <a:rPr lang="en-IN" b="1"/>
            <a:t>• </a:t>
          </a:r>
          <a:r>
            <a:rPr lang="en-IN" b="0"/>
            <a:t>The overall conversion rate was 10.60%.</a:t>
          </a:r>
        </a:p>
        <a:p>
          <a:r>
            <a:rPr lang="en-IN" b="1"/>
            <a:t>• </a:t>
          </a:r>
          <a:r>
            <a:rPr lang="en-IN" b="0"/>
            <a:t>September 1 recorded the highest daily revenue of ₹1,22,000, while September 7 recorded the lowest at ₹7,500.</a:t>
          </a:r>
        </a:p>
        <a:p>
          <a:pPr lvl="0"/>
          <a:endParaRPr lang="en-IN" b="1"/>
        </a:p>
        <a:p>
          <a:r>
            <a:rPr lang="en-IN" b="1"/>
            <a:t>💡 Recommendations</a:t>
          </a:r>
        </a:p>
        <a:p>
          <a:pPr lvl="0"/>
          <a:r>
            <a:rPr lang="en-IN" b="1"/>
            <a:t>Focus on maintaining strong sales performance in Mumbai. </a:t>
          </a:r>
        </a:p>
        <a:p>
          <a:pPr lvl="0"/>
          <a:r>
            <a:rPr lang="en-IN" b="1"/>
            <a:t>Analyze why Laptop sales are significantly higher and consider similar strategies for other products. </a:t>
          </a:r>
        </a:p>
        <a:p>
          <a:pPr lvl="0"/>
          <a:r>
            <a:rPr lang="en-IN" b="1"/>
            <a:t>Investigate low-revenue days to identify possible sales or customer-traffic issues. </a:t>
          </a:r>
        </a:p>
        <a:p>
          <a:pPr lvl="0"/>
          <a:r>
            <a:rPr lang="en-IN" b="1"/>
            <a:t>Work on improving the 10.60% conversion rate through better offers, promotions, or customer engagement.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k" refreshedDate="46300.806840277801" createdVersion="5" refreshedVersion="5" minRefreshableVersion="3" recordCount="1" xr:uid="{00000000-000A-0000-FFFF-FFFF00000000}">
  <cacheSource type="worksheet">
    <worksheetSource ref="A1:J33" sheet="Sales_Perf"/>
  </cacheSource>
  <cacheFields count="10">
    <cacheField name="Date" numFmtId="14">
      <sharedItems containsSemiMixedTypes="0" containsNonDate="0" containsDate="1" containsString="0" minDate="2026-09-01T00:00:00" maxDate="2026-09-30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Order_ID" numFmtId="0">
      <sharedItems count="32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</sharedItems>
    </cacheField>
    <cacheField name="Region" numFmtId="0">
      <sharedItems count="4">
        <s v="Mumbai"/>
        <s v="Pune"/>
        <s v="Navi Mumbai"/>
        <s v="Thane"/>
      </sharedItems>
    </cacheField>
    <cacheField name="Product" numFmtId="0">
      <sharedItems count="6">
        <s v="Laptop"/>
        <s v="Mobile"/>
        <s v="Headphones"/>
        <s v="Monitor"/>
        <s v="Keyboard"/>
        <s v="Mouse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0" maxValue="8" count="8">
        <n v="1"/>
        <n v="2"/>
        <n v="3"/>
        <n v="4"/>
        <n v="5"/>
        <n v="6"/>
        <n v="8"/>
        <n v="7"/>
      </sharedItems>
    </cacheField>
    <cacheField name="Unit_Price" numFmtId="0">
      <sharedItems containsSemiMixedTypes="0" containsString="0" containsNumber="1" containsInteger="1" minValue="0" maxValue="62000" count="29">
        <n v="62000"/>
        <n v="30000"/>
        <n v="4000"/>
        <n v="18000"/>
        <n v="2500"/>
        <n v="58000"/>
        <n v="28000"/>
        <n v="1500"/>
        <n v="17000"/>
        <n v="3500"/>
        <n v="60000"/>
        <n v="29000"/>
        <n v="1200"/>
        <n v="19000"/>
        <n v="2200"/>
        <n v="31000"/>
        <n v="1300"/>
        <n v="17500"/>
        <n v="3800"/>
        <n v="59000"/>
        <n v="1400"/>
        <n v="18500"/>
        <n v="2400"/>
        <n v="61000"/>
        <n v="29500"/>
        <n v="1600"/>
        <n v="3600"/>
        <n v="60500"/>
        <n v="30500"/>
      </sharedItems>
    </cacheField>
    <cacheField name="Revenue" numFmtId="0">
      <sharedItems containsSemiMixedTypes="0" containsString="0" containsNumber="1" containsInteger="1" minValue="0" maxValue="62000" count="24">
        <n v="62000"/>
        <n v="60000"/>
        <n v="12000"/>
        <n v="36000"/>
        <n v="10000"/>
        <n v="58000"/>
        <n v="28000"/>
        <n v="7500"/>
        <n v="51000"/>
        <n v="14000"/>
        <n v="7200"/>
        <n v="38000"/>
        <n v="11000"/>
        <n v="10400"/>
        <n v="35000"/>
        <n v="11400"/>
        <n v="59000"/>
        <n v="9800"/>
        <n v="37000"/>
        <n v="14400"/>
        <n v="61000"/>
        <n v="8000"/>
        <n v="54000"/>
        <n v="60500"/>
      </sharedItems>
    </cacheField>
    <cacheField name="Visits" numFmtId="0">
      <sharedItems containsSemiMixedTypes="0" containsString="0" containsNumber="1" containsInteger="1" minValue="0" maxValue="155" count="16">
        <n v="120"/>
        <n v="150"/>
        <n v="90"/>
        <n v="110"/>
        <n v="100"/>
        <n v="130"/>
        <n v="105"/>
        <n v="80"/>
        <n v="125"/>
        <n v="95"/>
        <n v="140"/>
        <n v="135"/>
        <n v="85"/>
        <n v="115"/>
        <n v="145"/>
        <n v="155"/>
      </sharedItems>
    </cacheField>
    <cacheField name="Orders" numFmtId="0">
      <sharedItems containsSemiMixedTypes="0" containsString="0" containsNumber="1" containsInteger="1" minValue="0" maxValue="19" count="14">
        <n v="12"/>
        <n v="18"/>
        <n v="9"/>
        <n v="11"/>
        <n v="8"/>
        <n v="10"/>
        <n v="14"/>
        <n v="7"/>
        <n v="15"/>
        <n v="16"/>
        <n v="13"/>
        <n v="6"/>
        <n v="17"/>
        <n v="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1">
  <location ref="A3:B8" firstHeaderRow="1" firstDataRow="1" firstDataCol="1"/>
  <pivotFields count="10">
    <pivotField compact="0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/>
    <pivotField axis="axisRow"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25">
        <item x="10"/>
        <item x="7"/>
        <item x="21"/>
        <item x="17"/>
        <item x="4"/>
        <item x="13"/>
        <item x="12"/>
        <item x="15"/>
        <item x="2"/>
        <item x="9"/>
        <item x="19"/>
        <item x="6"/>
        <item x="14"/>
        <item x="3"/>
        <item x="18"/>
        <item x="11"/>
        <item x="8"/>
        <item x="22"/>
        <item x="5"/>
        <item x="16"/>
        <item x="1"/>
        <item x="23"/>
        <item x="20"/>
        <item x="0"/>
        <item t="default"/>
      </items>
    </pivotField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14">
  <location ref="A3:B10" firstHeaderRow="1" firstDataRow="1" firstDataCol="1"/>
  <pivotFields count="10">
    <pivotField compact="0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/>
    <pivotField compact="0" showAll="0"/>
    <pivotField axis="axisRow" compact="0" showAll="0">
      <items count="7">
        <item x="2"/>
        <item x="4"/>
        <item x="0"/>
        <item x="1"/>
        <item x="3"/>
        <item x="5"/>
        <item t="default"/>
      </items>
    </pivotField>
    <pivotField compact="0" showAll="0"/>
    <pivotField compact="0" showAll="0"/>
    <pivotField compact="0" showAll="0"/>
    <pivotField dataField="1" compact="0" showAll="0">
      <items count="25">
        <item x="10"/>
        <item x="7"/>
        <item x="21"/>
        <item x="17"/>
        <item x="4"/>
        <item x="13"/>
        <item x="12"/>
        <item x="15"/>
        <item x="2"/>
        <item x="9"/>
        <item x="19"/>
        <item x="6"/>
        <item x="14"/>
        <item x="3"/>
        <item x="18"/>
        <item x="11"/>
        <item x="8"/>
        <item x="22"/>
        <item x="5"/>
        <item x="16"/>
        <item x="1"/>
        <item x="23"/>
        <item x="20"/>
        <item x="0"/>
        <item t="default"/>
      </items>
    </pivotField>
    <pivotField compact="0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10">
  <location ref="A3:B34" firstHeaderRow="1" firstDataRow="1" firstDataCol="1"/>
  <pivotFields count="10">
    <pivotField axis="axisRow" compact="0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7">
        <item x="2"/>
        <item x="4"/>
        <item x="0"/>
        <item x="1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7"/>
        <item x="6"/>
        <item t="default"/>
      </items>
    </pivotField>
    <pivotField compact="0" showAll="0">
      <items count="30">
        <item x="12"/>
        <item x="16"/>
        <item x="20"/>
        <item x="7"/>
        <item x="25"/>
        <item x="14"/>
        <item x="22"/>
        <item x="4"/>
        <item x="9"/>
        <item x="26"/>
        <item x="18"/>
        <item x="2"/>
        <item x="8"/>
        <item x="17"/>
        <item x="3"/>
        <item x="21"/>
        <item x="13"/>
        <item x="6"/>
        <item x="11"/>
        <item x="24"/>
        <item x="1"/>
        <item x="28"/>
        <item x="15"/>
        <item x="5"/>
        <item x="19"/>
        <item x="10"/>
        <item x="27"/>
        <item x="23"/>
        <item x="0"/>
        <item t="default"/>
      </items>
    </pivotField>
    <pivotField dataField="1" compact="0" showAll="0">
      <items count="25">
        <item x="10"/>
        <item x="7"/>
        <item x="21"/>
        <item x="17"/>
        <item x="4"/>
        <item x="13"/>
        <item x="12"/>
        <item x="15"/>
        <item x="2"/>
        <item x="9"/>
        <item x="19"/>
        <item x="6"/>
        <item x="14"/>
        <item x="3"/>
        <item x="18"/>
        <item x="11"/>
        <item x="8"/>
        <item x="22"/>
        <item x="5"/>
        <item x="16"/>
        <item x="1"/>
        <item x="23"/>
        <item x="20"/>
        <item x="0"/>
        <item t="default"/>
      </items>
    </pivotField>
    <pivotField compact="0" showAll="0">
      <items count="17">
        <item x="7"/>
        <item x="12"/>
        <item x="2"/>
        <item x="9"/>
        <item x="4"/>
        <item x="6"/>
        <item x="3"/>
        <item x="13"/>
        <item x="0"/>
        <item x="8"/>
        <item x="5"/>
        <item x="11"/>
        <item x="10"/>
        <item x="14"/>
        <item x="1"/>
        <item x="15"/>
        <item t="default"/>
      </items>
    </pivotField>
    <pivotField compact="0" showAll="0">
      <items count="15">
        <item x="11"/>
        <item x="7"/>
        <item x="4"/>
        <item x="2"/>
        <item x="5"/>
        <item x="3"/>
        <item x="0"/>
        <item x="10"/>
        <item x="6"/>
        <item x="8"/>
        <item x="9"/>
        <item x="12"/>
        <item x="1"/>
        <item x="13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tabSelected="1" workbookViewId="0">
      <selection activeCell="B1" sqref="B1"/>
    </sheetView>
  </sheetViews>
  <sheetFormatPr defaultColWidth="10" defaultRowHeight="14.4"/>
  <cols>
    <col min="1" max="1" width="11.6640625" customWidth="1"/>
  </cols>
  <sheetData>
    <row r="1" spans="1:10">
      <c r="A1" t="s">
        <v>14</v>
      </c>
      <c r="B1" t="s">
        <v>15</v>
      </c>
      <c r="C1" t="s">
        <v>0</v>
      </c>
      <c r="D1" t="s">
        <v>7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 s="2">
        <v>46266</v>
      </c>
      <c r="B2" t="s">
        <v>22</v>
      </c>
      <c r="C2" t="s">
        <v>2</v>
      </c>
      <c r="D2" t="s">
        <v>10</v>
      </c>
      <c r="E2" t="s">
        <v>23</v>
      </c>
      <c r="F2">
        <v>1</v>
      </c>
      <c r="G2">
        <v>62000</v>
      </c>
      <c r="H2">
        <v>62000</v>
      </c>
      <c r="I2">
        <v>120</v>
      </c>
      <c r="J2">
        <v>12</v>
      </c>
    </row>
    <row r="3" spans="1:10">
      <c r="A3" s="2">
        <v>46266</v>
      </c>
      <c r="B3" t="s">
        <v>24</v>
      </c>
      <c r="C3" t="s">
        <v>4</v>
      </c>
      <c r="D3" t="s">
        <v>11</v>
      </c>
      <c r="E3" t="s">
        <v>23</v>
      </c>
      <c r="F3">
        <v>2</v>
      </c>
      <c r="G3">
        <v>30000</v>
      </c>
      <c r="H3">
        <v>60000</v>
      </c>
      <c r="I3">
        <v>150</v>
      </c>
      <c r="J3">
        <v>18</v>
      </c>
    </row>
    <row r="4" spans="1:10">
      <c r="A4" s="2">
        <v>46267</v>
      </c>
      <c r="B4" t="s">
        <v>25</v>
      </c>
      <c r="C4" t="s">
        <v>3</v>
      </c>
      <c r="D4" t="s">
        <v>8</v>
      </c>
      <c r="E4" t="s">
        <v>26</v>
      </c>
      <c r="F4">
        <v>3</v>
      </c>
      <c r="G4">
        <v>4000</v>
      </c>
      <c r="H4">
        <v>12000</v>
      </c>
      <c r="I4">
        <v>90</v>
      </c>
      <c r="J4">
        <v>9</v>
      </c>
    </row>
    <row r="5" spans="1:10">
      <c r="A5" s="2">
        <v>46268</v>
      </c>
      <c r="B5" t="s">
        <v>27</v>
      </c>
      <c r="C5" t="s">
        <v>5</v>
      </c>
      <c r="D5" t="s">
        <v>12</v>
      </c>
      <c r="E5" t="s">
        <v>23</v>
      </c>
      <c r="F5">
        <v>2</v>
      </c>
      <c r="G5">
        <v>18000</v>
      </c>
      <c r="H5">
        <v>36000</v>
      </c>
      <c r="I5">
        <v>110</v>
      </c>
      <c r="J5">
        <v>11</v>
      </c>
    </row>
    <row r="6" spans="1:10">
      <c r="A6" s="2">
        <v>46269</v>
      </c>
      <c r="B6" t="s">
        <v>28</v>
      </c>
      <c r="C6" t="s">
        <v>2</v>
      </c>
      <c r="D6" t="s">
        <v>9</v>
      </c>
      <c r="E6" t="s">
        <v>26</v>
      </c>
      <c r="F6">
        <v>4</v>
      </c>
      <c r="G6">
        <v>2500</v>
      </c>
      <c r="H6">
        <v>10000</v>
      </c>
      <c r="I6">
        <v>100</v>
      </c>
      <c r="J6">
        <v>8</v>
      </c>
    </row>
    <row r="7" spans="1:10">
      <c r="A7" s="2">
        <v>46270</v>
      </c>
      <c r="B7" t="s">
        <v>29</v>
      </c>
      <c r="C7" t="s">
        <v>4</v>
      </c>
      <c r="D7" t="s">
        <v>10</v>
      </c>
      <c r="E7" t="s">
        <v>23</v>
      </c>
      <c r="F7">
        <v>1</v>
      </c>
      <c r="G7">
        <v>58000</v>
      </c>
      <c r="H7">
        <v>58000</v>
      </c>
      <c r="I7">
        <v>130</v>
      </c>
      <c r="J7">
        <v>10</v>
      </c>
    </row>
    <row r="8" spans="1:10">
      <c r="A8" s="2">
        <v>46271</v>
      </c>
      <c r="B8" t="s">
        <v>30</v>
      </c>
      <c r="C8" t="s">
        <v>3</v>
      </c>
      <c r="D8" t="s">
        <v>11</v>
      </c>
      <c r="E8" t="s">
        <v>23</v>
      </c>
      <c r="F8">
        <v>1</v>
      </c>
      <c r="G8">
        <v>28000</v>
      </c>
      <c r="H8">
        <v>28000</v>
      </c>
      <c r="I8">
        <v>105</v>
      </c>
      <c r="J8">
        <v>14</v>
      </c>
    </row>
    <row r="9" spans="1:10">
      <c r="A9" s="2">
        <v>46272</v>
      </c>
      <c r="B9" t="s">
        <v>31</v>
      </c>
      <c r="C9" t="s">
        <v>5</v>
      </c>
      <c r="D9" t="s">
        <v>13</v>
      </c>
      <c r="E9" t="s">
        <v>26</v>
      </c>
      <c r="F9">
        <v>5</v>
      </c>
      <c r="G9">
        <v>1500</v>
      </c>
      <c r="H9">
        <v>7500</v>
      </c>
      <c r="I9">
        <v>80</v>
      </c>
      <c r="J9">
        <v>7</v>
      </c>
    </row>
    <row r="10" spans="1:10">
      <c r="A10" s="2">
        <v>46273</v>
      </c>
      <c r="B10" t="s">
        <v>32</v>
      </c>
      <c r="C10" t="s">
        <v>2</v>
      </c>
      <c r="D10" t="s">
        <v>12</v>
      </c>
      <c r="E10" t="s">
        <v>23</v>
      </c>
      <c r="F10">
        <v>3</v>
      </c>
      <c r="G10">
        <v>17000</v>
      </c>
      <c r="H10">
        <v>51000</v>
      </c>
      <c r="I10">
        <v>125</v>
      </c>
      <c r="J10">
        <v>15</v>
      </c>
    </row>
    <row r="11" spans="1:10">
      <c r="A11" s="2">
        <v>46274</v>
      </c>
      <c r="B11" t="s">
        <v>33</v>
      </c>
      <c r="C11" t="s">
        <v>4</v>
      </c>
      <c r="D11" t="s">
        <v>8</v>
      </c>
      <c r="E11" t="s">
        <v>26</v>
      </c>
      <c r="F11">
        <v>4</v>
      </c>
      <c r="G11">
        <v>3500</v>
      </c>
      <c r="H11">
        <v>14000</v>
      </c>
      <c r="I11">
        <v>95</v>
      </c>
      <c r="J11">
        <v>10</v>
      </c>
    </row>
    <row r="12" spans="1:10">
      <c r="A12" s="2">
        <v>46275</v>
      </c>
      <c r="B12" t="s">
        <v>34</v>
      </c>
      <c r="C12" t="s">
        <v>3</v>
      </c>
      <c r="D12" t="s">
        <v>10</v>
      </c>
      <c r="E12" t="s">
        <v>23</v>
      </c>
      <c r="F12">
        <v>1</v>
      </c>
      <c r="G12">
        <v>60000</v>
      </c>
      <c r="H12">
        <v>60000</v>
      </c>
      <c r="I12">
        <v>140</v>
      </c>
      <c r="J12">
        <v>16</v>
      </c>
    </row>
    <row r="13" spans="1:10">
      <c r="A13" s="2">
        <v>46276</v>
      </c>
      <c r="B13" t="s">
        <v>35</v>
      </c>
      <c r="C13" t="s">
        <v>5</v>
      </c>
      <c r="D13" t="s">
        <v>11</v>
      </c>
      <c r="E13" t="s">
        <v>23</v>
      </c>
      <c r="F13">
        <v>2</v>
      </c>
      <c r="G13">
        <v>29000</v>
      </c>
      <c r="H13">
        <v>58000</v>
      </c>
      <c r="I13">
        <v>135</v>
      </c>
      <c r="J13">
        <v>13</v>
      </c>
    </row>
    <row r="14" spans="1:10">
      <c r="A14" s="2">
        <v>46277</v>
      </c>
      <c r="B14" t="s">
        <v>36</v>
      </c>
      <c r="C14" t="s">
        <v>2</v>
      </c>
      <c r="D14" t="s">
        <v>13</v>
      </c>
      <c r="E14" t="s">
        <v>26</v>
      </c>
      <c r="F14">
        <v>6</v>
      </c>
      <c r="G14">
        <v>1200</v>
      </c>
      <c r="H14">
        <v>7200</v>
      </c>
      <c r="I14">
        <v>85</v>
      </c>
      <c r="J14">
        <v>6</v>
      </c>
    </row>
    <row r="15" spans="1:10">
      <c r="A15" s="2">
        <v>46278</v>
      </c>
      <c r="B15" t="s">
        <v>37</v>
      </c>
      <c r="C15" t="s">
        <v>4</v>
      </c>
      <c r="D15" t="s">
        <v>12</v>
      </c>
      <c r="E15" t="s">
        <v>23</v>
      </c>
      <c r="F15">
        <v>2</v>
      </c>
      <c r="G15">
        <v>19000</v>
      </c>
      <c r="H15">
        <v>38000</v>
      </c>
      <c r="I15">
        <v>115</v>
      </c>
      <c r="J15">
        <v>12</v>
      </c>
    </row>
    <row r="16" spans="1:10">
      <c r="A16" s="2">
        <v>46279</v>
      </c>
      <c r="B16" t="s">
        <v>38</v>
      </c>
      <c r="C16" t="s">
        <v>3</v>
      </c>
      <c r="D16" t="s">
        <v>9</v>
      </c>
      <c r="E16" t="s">
        <v>26</v>
      </c>
      <c r="F16">
        <v>5</v>
      </c>
      <c r="G16">
        <v>2200</v>
      </c>
      <c r="H16">
        <v>11000</v>
      </c>
      <c r="I16">
        <v>100</v>
      </c>
      <c r="J16">
        <v>9</v>
      </c>
    </row>
    <row r="17" spans="1:10">
      <c r="A17" s="2">
        <v>46280</v>
      </c>
      <c r="B17" t="s">
        <v>39</v>
      </c>
      <c r="C17" t="s">
        <v>5</v>
      </c>
      <c r="D17" t="s">
        <v>10</v>
      </c>
      <c r="E17" t="s">
        <v>23</v>
      </c>
      <c r="F17">
        <v>1</v>
      </c>
      <c r="G17">
        <v>62000</v>
      </c>
      <c r="H17">
        <v>62000</v>
      </c>
      <c r="I17">
        <v>145</v>
      </c>
      <c r="J17">
        <v>17</v>
      </c>
    </row>
    <row r="18" spans="1:10">
      <c r="A18" s="2">
        <v>46281</v>
      </c>
      <c r="B18" t="s">
        <v>40</v>
      </c>
      <c r="C18" t="s">
        <v>2</v>
      </c>
      <c r="D18" t="s">
        <v>11</v>
      </c>
      <c r="E18" t="s">
        <v>23</v>
      </c>
      <c r="F18">
        <v>2</v>
      </c>
      <c r="G18">
        <v>31000</v>
      </c>
      <c r="H18">
        <v>62000</v>
      </c>
      <c r="I18">
        <v>155</v>
      </c>
      <c r="J18">
        <v>19</v>
      </c>
    </row>
    <row r="19" spans="1:10">
      <c r="A19" s="2">
        <v>46282</v>
      </c>
      <c r="B19" t="s">
        <v>41</v>
      </c>
      <c r="C19" t="s">
        <v>4</v>
      </c>
      <c r="D19" t="s">
        <v>13</v>
      </c>
      <c r="E19" t="s">
        <v>26</v>
      </c>
      <c r="F19">
        <v>8</v>
      </c>
      <c r="G19">
        <v>1300</v>
      </c>
      <c r="H19">
        <v>10400</v>
      </c>
      <c r="I19">
        <v>90</v>
      </c>
      <c r="J19">
        <v>8</v>
      </c>
    </row>
    <row r="20" spans="1:10">
      <c r="A20" s="2">
        <v>46283</v>
      </c>
      <c r="B20" t="s">
        <v>42</v>
      </c>
      <c r="C20" t="s">
        <v>3</v>
      </c>
      <c r="D20" t="s">
        <v>12</v>
      </c>
      <c r="E20" t="s">
        <v>23</v>
      </c>
      <c r="F20">
        <v>2</v>
      </c>
      <c r="G20">
        <v>17500</v>
      </c>
      <c r="H20">
        <v>35000</v>
      </c>
      <c r="I20">
        <v>120</v>
      </c>
      <c r="J20">
        <v>13</v>
      </c>
    </row>
    <row r="21" spans="1:10">
      <c r="A21" s="2">
        <v>46284</v>
      </c>
      <c r="B21" t="s">
        <v>43</v>
      </c>
      <c r="C21" t="s">
        <v>5</v>
      </c>
      <c r="D21" t="s">
        <v>8</v>
      </c>
      <c r="E21" t="s">
        <v>26</v>
      </c>
      <c r="F21">
        <v>3</v>
      </c>
      <c r="G21">
        <v>3800</v>
      </c>
      <c r="H21">
        <v>11400</v>
      </c>
      <c r="I21">
        <v>85</v>
      </c>
      <c r="J21">
        <v>9</v>
      </c>
    </row>
    <row r="22" spans="1:10">
      <c r="A22" s="2">
        <v>46285</v>
      </c>
      <c r="B22" t="s">
        <v>44</v>
      </c>
      <c r="C22" t="s">
        <v>2</v>
      </c>
      <c r="D22" t="s">
        <v>10</v>
      </c>
      <c r="E22" t="s">
        <v>23</v>
      </c>
      <c r="F22">
        <v>1</v>
      </c>
      <c r="G22">
        <v>59000</v>
      </c>
      <c r="H22">
        <v>59000</v>
      </c>
      <c r="I22">
        <v>135</v>
      </c>
      <c r="J22">
        <v>14</v>
      </c>
    </row>
    <row r="23" spans="1:10">
      <c r="A23" s="2">
        <v>46286</v>
      </c>
      <c r="B23" t="s">
        <v>45</v>
      </c>
      <c r="C23" t="s">
        <v>4</v>
      </c>
      <c r="D23" t="s">
        <v>11</v>
      </c>
      <c r="E23" t="s">
        <v>23</v>
      </c>
      <c r="F23">
        <v>2</v>
      </c>
      <c r="G23">
        <v>30000</v>
      </c>
      <c r="H23">
        <v>60000</v>
      </c>
      <c r="I23">
        <v>145</v>
      </c>
      <c r="J23">
        <v>16</v>
      </c>
    </row>
    <row r="24" spans="1:10">
      <c r="A24" s="2">
        <v>46287</v>
      </c>
      <c r="B24" t="s">
        <v>46</v>
      </c>
      <c r="C24" t="s">
        <v>3</v>
      </c>
      <c r="D24" t="s">
        <v>13</v>
      </c>
      <c r="E24" t="s">
        <v>26</v>
      </c>
      <c r="F24">
        <v>7</v>
      </c>
      <c r="G24">
        <v>1400</v>
      </c>
      <c r="H24">
        <v>9800</v>
      </c>
      <c r="I24">
        <v>100</v>
      </c>
      <c r="J24">
        <v>10</v>
      </c>
    </row>
    <row r="25" spans="1:10">
      <c r="A25" s="2">
        <v>46288</v>
      </c>
      <c r="B25" t="s">
        <v>47</v>
      </c>
      <c r="C25" t="s">
        <v>5</v>
      </c>
      <c r="D25" t="s">
        <v>12</v>
      </c>
      <c r="E25" t="s">
        <v>23</v>
      </c>
      <c r="F25">
        <v>2</v>
      </c>
      <c r="G25">
        <v>18500</v>
      </c>
      <c r="H25">
        <v>37000</v>
      </c>
      <c r="I25">
        <v>110</v>
      </c>
      <c r="J25">
        <v>11</v>
      </c>
    </row>
    <row r="26" spans="1:10">
      <c r="A26" s="2">
        <v>46289</v>
      </c>
      <c r="B26" t="s">
        <v>48</v>
      </c>
      <c r="C26" t="s">
        <v>2</v>
      </c>
      <c r="D26" t="s">
        <v>9</v>
      </c>
      <c r="E26" t="s">
        <v>26</v>
      </c>
      <c r="F26">
        <v>6</v>
      </c>
      <c r="G26">
        <v>2400</v>
      </c>
      <c r="H26">
        <v>14400</v>
      </c>
      <c r="I26">
        <v>105</v>
      </c>
      <c r="J26">
        <v>12</v>
      </c>
    </row>
    <row r="27" spans="1:10">
      <c r="A27" s="2">
        <v>46290</v>
      </c>
      <c r="B27" t="s">
        <v>49</v>
      </c>
      <c r="C27" t="s">
        <v>4</v>
      </c>
      <c r="D27" t="s">
        <v>10</v>
      </c>
      <c r="E27" t="s">
        <v>23</v>
      </c>
      <c r="F27">
        <v>1</v>
      </c>
      <c r="G27">
        <v>61000</v>
      </c>
      <c r="H27">
        <v>61000</v>
      </c>
      <c r="I27">
        <v>150</v>
      </c>
      <c r="J27">
        <v>18</v>
      </c>
    </row>
    <row r="28" spans="1:10">
      <c r="A28" s="2">
        <v>46291</v>
      </c>
      <c r="B28" t="s">
        <v>50</v>
      </c>
      <c r="C28" t="s">
        <v>3</v>
      </c>
      <c r="D28" t="s">
        <v>11</v>
      </c>
      <c r="E28" t="s">
        <v>23</v>
      </c>
      <c r="F28">
        <v>2</v>
      </c>
      <c r="G28">
        <v>29500</v>
      </c>
      <c r="H28">
        <v>59000</v>
      </c>
      <c r="I28">
        <v>140</v>
      </c>
      <c r="J28">
        <v>15</v>
      </c>
    </row>
    <row r="29" spans="1:10">
      <c r="A29" s="2">
        <v>46292</v>
      </c>
      <c r="B29" t="s">
        <v>51</v>
      </c>
      <c r="C29" t="s">
        <v>5</v>
      </c>
      <c r="D29" t="s">
        <v>13</v>
      </c>
      <c r="E29" t="s">
        <v>26</v>
      </c>
      <c r="F29">
        <v>5</v>
      </c>
      <c r="G29">
        <v>1600</v>
      </c>
      <c r="H29">
        <v>8000</v>
      </c>
      <c r="I29">
        <v>90</v>
      </c>
      <c r="J29">
        <v>8</v>
      </c>
    </row>
    <row r="30" spans="1:10">
      <c r="A30" s="2">
        <v>46293</v>
      </c>
      <c r="B30" t="s">
        <v>52</v>
      </c>
      <c r="C30" t="s">
        <v>2</v>
      </c>
      <c r="D30" t="s">
        <v>12</v>
      </c>
      <c r="E30" t="s">
        <v>23</v>
      </c>
      <c r="F30">
        <v>3</v>
      </c>
      <c r="G30">
        <v>18000</v>
      </c>
      <c r="H30">
        <v>54000</v>
      </c>
      <c r="I30">
        <v>130</v>
      </c>
      <c r="J30">
        <v>16</v>
      </c>
    </row>
    <row r="31" spans="1:10">
      <c r="A31" s="2">
        <v>46294</v>
      </c>
      <c r="B31" t="s">
        <v>53</v>
      </c>
      <c r="C31" t="s">
        <v>4</v>
      </c>
      <c r="D31" t="s">
        <v>8</v>
      </c>
      <c r="E31" t="s">
        <v>26</v>
      </c>
      <c r="F31">
        <v>4</v>
      </c>
      <c r="G31">
        <v>3600</v>
      </c>
      <c r="H31">
        <v>14400</v>
      </c>
      <c r="I31">
        <v>100</v>
      </c>
      <c r="J31">
        <v>11</v>
      </c>
    </row>
    <row r="32" spans="1:10">
      <c r="A32" s="2">
        <v>46295</v>
      </c>
      <c r="B32" t="s">
        <v>54</v>
      </c>
      <c r="C32" t="s">
        <v>3</v>
      </c>
      <c r="D32" t="s">
        <v>10</v>
      </c>
      <c r="E32" t="s">
        <v>23</v>
      </c>
      <c r="F32">
        <v>1</v>
      </c>
      <c r="G32">
        <v>60500</v>
      </c>
      <c r="H32">
        <v>60500</v>
      </c>
      <c r="I32">
        <v>145</v>
      </c>
      <c r="J32">
        <v>17</v>
      </c>
    </row>
    <row r="33" spans="1:10">
      <c r="A33" s="2">
        <v>46295</v>
      </c>
      <c r="B33" t="s">
        <v>55</v>
      </c>
      <c r="C33" t="s">
        <v>5</v>
      </c>
      <c r="D33" t="s">
        <v>11</v>
      </c>
      <c r="E33" t="s">
        <v>23</v>
      </c>
      <c r="F33">
        <v>2</v>
      </c>
      <c r="G33">
        <v>30500</v>
      </c>
      <c r="H33">
        <v>61000</v>
      </c>
      <c r="I33">
        <v>150</v>
      </c>
      <c r="J33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7"/>
  <sheetViews>
    <sheetView workbookViewId="0">
      <selection activeCell="C6" sqref="C6"/>
    </sheetView>
  </sheetViews>
  <sheetFormatPr defaultColWidth="8.88671875" defaultRowHeight="14.4"/>
  <cols>
    <col min="1" max="1" width="18.5546875" customWidth="1"/>
    <col min="2" max="2" width="13.109375" customWidth="1"/>
  </cols>
  <sheetData>
    <row r="2" spans="1:2">
      <c r="A2" t="s">
        <v>56</v>
      </c>
      <c r="B2">
        <f>SUM(Sales_Perf!H2:H33)</f>
        <v>1191600</v>
      </c>
    </row>
    <row r="3" spans="1:2">
      <c r="A3" t="s">
        <v>57</v>
      </c>
      <c r="B3">
        <f>SUM(Sales_Perf!F2:F33)</f>
        <v>94</v>
      </c>
    </row>
    <row r="4" spans="1:2">
      <c r="A4" t="s">
        <v>58</v>
      </c>
      <c r="B4">
        <f>SUM(Sales_Perf!I2:I33)</f>
        <v>3775</v>
      </c>
    </row>
    <row r="5" spans="1:2">
      <c r="A5" t="s">
        <v>59</v>
      </c>
      <c r="B5">
        <f>SUM(Sales_Perf!J2:J33)</f>
        <v>400</v>
      </c>
    </row>
    <row r="6" spans="1:2">
      <c r="A6" t="s">
        <v>60</v>
      </c>
      <c r="B6" s="1">
        <f>SUM(Sales_Perf!J2:J33)/SUM(Sales_Perf!I2:I33)</f>
        <v>0.105960264900662</v>
      </c>
    </row>
    <row r="7" spans="1:2">
      <c r="A7" t="s">
        <v>61</v>
      </c>
      <c r="B7">
        <f>SUM(Sales_Perf!H2:H33)/SUM(Sales_Perf!J2:J33)</f>
        <v>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A3" sqref="A3"/>
    </sheetView>
  </sheetViews>
  <sheetFormatPr defaultColWidth="8.88671875" defaultRowHeight="14.4"/>
  <cols>
    <col min="1" max="1" width="12.77734375"/>
    <col min="2" max="2" width="16.109375"/>
  </cols>
  <sheetData>
    <row r="3" spans="1:2">
      <c r="A3" t="s">
        <v>0</v>
      </c>
      <c r="B3" t="s">
        <v>1</v>
      </c>
    </row>
    <row r="4" spans="1:2">
      <c r="A4" t="s">
        <v>2</v>
      </c>
      <c r="B4">
        <v>319600</v>
      </c>
    </row>
    <row r="5" spans="1:2">
      <c r="A5" t="s">
        <v>3</v>
      </c>
      <c r="B5">
        <v>275300</v>
      </c>
    </row>
    <row r="6" spans="1:2">
      <c r="A6" t="s">
        <v>4</v>
      </c>
      <c r="B6">
        <v>315800</v>
      </c>
    </row>
    <row r="7" spans="1:2">
      <c r="A7" t="s">
        <v>5</v>
      </c>
      <c r="B7">
        <v>280900</v>
      </c>
    </row>
    <row r="8" spans="1:2">
      <c r="A8" t="s">
        <v>6</v>
      </c>
      <c r="B8">
        <v>1191600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"/>
  <sheetViews>
    <sheetView workbookViewId="0">
      <selection activeCell="A3" sqref="A3"/>
    </sheetView>
  </sheetViews>
  <sheetFormatPr defaultColWidth="8.88671875" defaultRowHeight="14.4"/>
  <cols>
    <col min="1" max="1" width="12"/>
    <col min="2" max="2" width="16.109375"/>
  </cols>
  <sheetData>
    <row r="3" spans="1:2">
      <c r="A3" t="s">
        <v>7</v>
      </c>
      <c r="B3" t="s">
        <v>1</v>
      </c>
    </row>
    <row r="4" spans="1:2">
      <c r="A4" t="s">
        <v>8</v>
      </c>
      <c r="B4">
        <v>51800</v>
      </c>
    </row>
    <row r="5" spans="1:2">
      <c r="A5" t="s">
        <v>9</v>
      </c>
      <c r="B5">
        <v>35400</v>
      </c>
    </row>
    <row r="6" spans="1:2">
      <c r="A6" t="s">
        <v>10</v>
      </c>
      <c r="B6">
        <v>422500</v>
      </c>
    </row>
    <row r="7" spans="1:2">
      <c r="A7" t="s">
        <v>11</v>
      </c>
      <c r="B7">
        <v>388000</v>
      </c>
    </row>
    <row r="8" spans="1:2">
      <c r="A8" t="s">
        <v>12</v>
      </c>
      <c r="B8">
        <v>251000</v>
      </c>
    </row>
    <row r="9" spans="1:2">
      <c r="A9" t="s">
        <v>13</v>
      </c>
      <c r="B9">
        <v>42900</v>
      </c>
    </row>
    <row r="10" spans="1:2">
      <c r="A10" t="s">
        <v>6</v>
      </c>
      <c r="B10">
        <v>1191600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34"/>
  <sheetViews>
    <sheetView workbookViewId="0">
      <selection activeCell="A15" sqref="A15"/>
    </sheetView>
  </sheetViews>
  <sheetFormatPr defaultColWidth="8.88671875" defaultRowHeight="14.4"/>
  <cols>
    <col min="1" max="1" width="11.6640625"/>
    <col min="2" max="2" width="16.109375"/>
  </cols>
  <sheetData>
    <row r="3" spans="1:2">
      <c r="A3" t="s">
        <v>14</v>
      </c>
      <c r="B3" t="s">
        <v>1</v>
      </c>
    </row>
    <row r="4" spans="1:2">
      <c r="A4" s="2">
        <v>46266</v>
      </c>
      <c r="B4">
        <v>122000</v>
      </c>
    </row>
    <row r="5" spans="1:2">
      <c r="A5" s="2">
        <v>46267</v>
      </c>
      <c r="B5">
        <v>12000</v>
      </c>
    </row>
    <row r="6" spans="1:2">
      <c r="A6" s="2">
        <v>46268</v>
      </c>
      <c r="B6">
        <v>36000</v>
      </c>
    </row>
    <row r="7" spans="1:2">
      <c r="A7" s="2">
        <v>46269</v>
      </c>
      <c r="B7">
        <v>10000</v>
      </c>
    </row>
    <row r="8" spans="1:2">
      <c r="A8" s="2">
        <v>46270</v>
      </c>
      <c r="B8">
        <v>58000</v>
      </c>
    </row>
    <row r="9" spans="1:2">
      <c r="A9" s="2">
        <v>46271</v>
      </c>
      <c r="B9">
        <v>28000</v>
      </c>
    </row>
    <row r="10" spans="1:2">
      <c r="A10" s="2">
        <v>46272</v>
      </c>
      <c r="B10">
        <v>7500</v>
      </c>
    </row>
    <row r="11" spans="1:2">
      <c r="A11" s="2">
        <v>46273</v>
      </c>
      <c r="B11">
        <v>51000</v>
      </c>
    </row>
    <row r="12" spans="1:2">
      <c r="A12" s="2">
        <v>46274</v>
      </c>
      <c r="B12">
        <v>14000</v>
      </c>
    </row>
    <row r="13" spans="1:2">
      <c r="A13" s="2">
        <v>46275</v>
      </c>
      <c r="B13">
        <v>60000</v>
      </c>
    </row>
    <row r="14" spans="1:2">
      <c r="A14" s="2">
        <v>46276</v>
      </c>
      <c r="B14">
        <v>58000</v>
      </c>
    </row>
    <row r="15" spans="1:2">
      <c r="A15" s="2">
        <v>46277</v>
      </c>
      <c r="B15">
        <v>7200</v>
      </c>
    </row>
    <row r="16" spans="1:2">
      <c r="A16" s="2">
        <v>46278</v>
      </c>
      <c r="B16">
        <v>38000</v>
      </c>
    </row>
    <row r="17" spans="1:2">
      <c r="A17" s="2">
        <v>46279</v>
      </c>
      <c r="B17">
        <v>11000</v>
      </c>
    </row>
    <row r="18" spans="1:2">
      <c r="A18" s="2">
        <v>46280</v>
      </c>
      <c r="B18">
        <v>62000</v>
      </c>
    </row>
    <row r="19" spans="1:2">
      <c r="A19" s="2">
        <v>46281</v>
      </c>
      <c r="B19">
        <v>62000</v>
      </c>
    </row>
    <row r="20" spans="1:2">
      <c r="A20" s="2">
        <v>46282</v>
      </c>
      <c r="B20">
        <v>10400</v>
      </c>
    </row>
    <row r="21" spans="1:2">
      <c r="A21" s="2">
        <v>46283</v>
      </c>
      <c r="B21">
        <v>35000</v>
      </c>
    </row>
    <row r="22" spans="1:2">
      <c r="A22" s="2">
        <v>46284</v>
      </c>
      <c r="B22">
        <v>11400</v>
      </c>
    </row>
    <row r="23" spans="1:2">
      <c r="A23" s="2">
        <v>46285</v>
      </c>
      <c r="B23">
        <v>59000</v>
      </c>
    </row>
    <row r="24" spans="1:2">
      <c r="A24" s="2">
        <v>46286</v>
      </c>
      <c r="B24">
        <v>60000</v>
      </c>
    </row>
    <row r="25" spans="1:2">
      <c r="A25" s="2">
        <v>46287</v>
      </c>
      <c r="B25">
        <v>9800</v>
      </c>
    </row>
    <row r="26" spans="1:2">
      <c r="A26" s="2">
        <v>46288</v>
      </c>
      <c r="B26">
        <v>37000</v>
      </c>
    </row>
    <row r="27" spans="1:2">
      <c r="A27" s="2">
        <v>46289</v>
      </c>
      <c r="B27">
        <v>14400</v>
      </c>
    </row>
    <row r="28" spans="1:2">
      <c r="A28" s="2">
        <v>46290</v>
      </c>
      <c r="B28">
        <v>61000</v>
      </c>
    </row>
    <row r="29" spans="1:2">
      <c r="A29" s="2">
        <v>46291</v>
      </c>
      <c r="B29">
        <v>59000</v>
      </c>
    </row>
    <row r="30" spans="1:2">
      <c r="A30" s="2">
        <v>46292</v>
      </c>
      <c r="B30">
        <v>8000</v>
      </c>
    </row>
    <row r="31" spans="1:2">
      <c r="A31" s="2">
        <v>46293</v>
      </c>
      <c r="B31">
        <v>54000</v>
      </c>
    </row>
    <row r="32" spans="1:2">
      <c r="A32" s="2">
        <v>46294</v>
      </c>
      <c r="B32">
        <v>14400</v>
      </c>
    </row>
    <row r="33" spans="1:2">
      <c r="A33" s="2">
        <v>46295</v>
      </c>
      <c r="B33">
        <v>121500</v>
      </c>
    </row>
    <row r="34" spans="1:2">
      <c r="A34" t="s">
        <v>6</v>
      </c>
      <c r="B34">
        <v>1191600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topLeftCell="A8" zoomScale="91" zoomScaleNormal="85" workbookViewId="0">
      <selection activeCell="N37" sqref="N37"/>
    </sheetView>
  </sheetViews>
  <sheetFormatPr defaultColWidth="8.88671875" defaultRowHeight="14.4"/>
  <sheetData>
    <row r="1" spans="1:20" ht="15" thickBot="1">
      <c r="A1" s="8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20" ht="15.6" thickTop="1" thickBo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O2" s="7" t="s">
        <v>63</v>
      </c>
      <c r="P2" s="7"/>
      <c r="Q2" s="7"/>
      <c r="R2" s="7"/>
      <c r="S2" s="7"/>
      <c r="T2" s="7"/>
    </row>
    <row r="3" spans="1:20" ht="15" thickTop="1">
      <c r="O3" s="7"/>
      <c r="P3" s="7"/>
      <c r="Q3" s="7"/>
      <c r="R3" s="7"/>
      <c r="S3" s="7"/>
      <c r="T3" s="7"/>
    </row>
    <row r="4" spans="1:20">
      <c r="A4" s="5"/>
      <c r="B4" s="4"/>
      <c r="C4" s="4"/>
      <c r="D4" s="4"/>
    </row>
    <row r="5" spans="1:20">
      <c r="A5" s="5"/>
      <c r="B5" s="4"/>
      <c r="C5" s="4"/>
      <c r="D5" s="4"/>
    </row>
    <row r="6" spans="1:20">
      <c r="A6" s="3"/>
      <c r="B6" s="6"/>
      <c r="C6" s="6"/>
      <c r="D6" s="4"/>
    </row>
    <row r="7" spans="1:20">
      <c r="B7" s="4"/>
      <c r="C7" s="4"/>
      <c r="D7" s="4"/>
    </row>
  </sheetData>
  <mergeCells count="3">
    <mergeCell ref="B6:C6"/>
    <mergeCell ref="A1:L2"/>
    <mergeCell ref="O2:T3"/>
  </mergeCells>
  <phoneticPr fontId="3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Sales_Perf</vt:lpstr>
      <vt:lpstr>KPI Summary</vt:lpstr>
      <vt:lpstr>Region Analysis</vt:lpstr>
      <vt:lpstr>Product Analysis Sheet</vt:lpstr>
      <vt:lpstr>Sep Daily Revenue Trend</vt:lpstr>
      <vt:lpstr>Final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Mili Kanojiya</cp:lastModifiedBy>
  <dcterms:created xsi:type="dcterms:W3CDTF">2026-10-05T09:19:00Z</dcterms:created>
  <dcterms:modified xsi:type="dcterms:W3CDTF">2026-10-10T18:12:05Z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8517194315F346CEBEBE31D7EE80D0B5_13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